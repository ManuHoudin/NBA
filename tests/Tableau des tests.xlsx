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emman\Formation\P10_DSML\tests\"/>
    </mc:Choice>
  </mc:AlternateContent>
  <xr:revisionPtr revIDLastSave="0" documentId="13_ncr:1_{14F79A94-2043-4C42-8570-EDB72DA34FC4}" xr6:coauthVersionLast="47" xr6:coauthVersionMax="47" xr10:uidLastSave="{00000000-0000-0000-0000-000000000000}"/>
  <bookViews>
    <workbookView xWindow="-108" yWindow="-108" windowWidth="23256" windowHeight="13176" activeTab="1" xr2:uid="{8DA27DCD-3A9C-40B5-AEEB-35EEF2B41E1C}"/>
  </bookViews>
  <sheets>
    <sheet name="Tests Ragas" sheetId="1" r:id="rId1"/>
    <sheet name="Base"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0" i="2" l="1"/>
  <c r="E7" i="1"/>
</calcChain>
</file>

<file path=xl/sharedStrings.xml><?xml version="1.0" encoding="utf-8"?>
<sst xmlns="http://schemas.openxmlformats.org/spreadsheetml/2006/main" count="184" uniqueCount="142">
  <si>
    <t>Catégorie</t>
  </si>
  <si>
    <t>Question</t>
  </si>
  <si>
    <t>Référence</t>
  </si>
  <si>
    <t>Simple</t>
  </si>
  <si>
    <t>Complexe</t>
  </si>
  <si>
    <t>Comparaison</t>
  </si>
  <si>
    <t>Bruitée</t>
  </si>
  <si>
    <t>Ambigüe</t>
  </si>
  <si>
    <t>Sans réponse</t>
  </si>
  <si>
    <t>Pas de données suffisantes</t>
  </si>
  <si>
    <t>Quelles équipes ont remporté des matchs cette année ?</t>
  </si>
  <si>
    <t>Type</t>
  </si>
  <si>
    <t>SQL</t>
  </si>
  <si>
    <t>Quelle est la moyenne de points par match de Nikola Jokić ?</t>
  </si>
  <si>
    <t>Cas</t>
  </si>
  <si>
    <t>Combien de contres a totalisé Victor Wenbanyama ?</t>
  </si>
  <si>
    <t>Qui marque le plus de points par match en moyenne entre Nikola Jokić et Victor Wenbanyama ?</t>
  </si>
  <si>
    <t>Nikola Jokić</t>
  </si>
  <si>
    <t>Parmi les joueurs de SAS, lesquels ont une moyenne d'au moins 20 points par match ?</t>
  </si>
  <si>
    <t>De'Aaron Fox,
Stephon Castle,
Victor Wembanyama,
Devin Vassell,
Harrison Barnes,
Keldon Johnson,
Julian Champagnie,
Chris Paul,
Jeremy Sochan,
Sandro Mamukelashvili,
Malaki Branham,
Blake Wesley,
Charles Bassey,
Bismack Biyombo,
Jordan McLaughlin</t>
  </si>
  <si>
    <t>Quels joueurs combinent un pourcentage de réussite aux tirs par match supérieur à 60 et un pourcentage de tirs à 3 points tentés par match supérieur à 10 ?</t>
  </si>
  <si>
    <t>Giannis Antetokounmpo,
Walker Kessler,
Brandon Clarke,
Goga Bitadze,
Daeqwon Plowden</t>
  </si>
  <si>
    <t>Quel est le ratio entre Tirs réussis par match et Tirs tentés par match de LeBron James ?</t>
  </si>
  <si>
    <t>Calcul</t>
  </si>
  <si>
    <t>PDF</t>
  </si>
  <si>
    <t>Que reprochent les fans à Reggie Miller dans les discussions ?</t>
  </si>
  <si>
    <t>Croisé</t>
  </si>
  <si>
    <t>PDF + SQL</t>
  </si>
  <si>
    <t>Les fans lui reprochent surtout de ne pas avoir été un scoreur assez prolifique ni un joueur dominant en un-contre-un, malgré son statut de première option offensive, et estiment qu’il était moins complet que d’autres grands arrières.</t>
  </si>
  <si>
    <t>Pourquoi certains disent que Reggie Miller est surcoté ?</t>
  </si>
  <si>
    <t>Certains jugent Reggie Miller surcoté parce que son volume de scoring et son taux d’utilisation étaient relativement faibles pour une première option, qu’il créait moins facilement son tir balle en main et que son efficacité statistique ne suffit pas, selon eux, à le placer au niveau des plus grands scoreurs.</t>
  </si>
  <si>
    <t>Les statistiques des Orlando Magic vont-elles dans le sens des critiques exprimées par les fans ?</t>
  </si>
  <si>
    <t>ResponseRelevancy</t>
  </si>
  <si>
    <t>Faithfulness</t>
  </si>
  <si>
    <t>Blabla LLM</t>
  </si>
  <si>
    <t>Le contexte fourni ne permet pas de répondre à cette question. Il mentionne Shai Gilgeous-Alexander dans l'analyse des points, mais ne contient aucune donnée concernant Nikola Jokić.</t>
  </si>
  <si>
    <t>Le contexte fourni ne contient pas d'informations concernant Victor Wenbanyama ni le nombre de contres qu'il a totalisés.</t>
  </si>
  <si>
    <t>Le contexte fourni ne permet pas de répondre à cette question. Il contient des données pour Shai Gilgeous-Alexander et un dictionnaire des variables, mais aucune information statistique concernant Nikola Jokić ou Victor Wembanyama.</t>
  </si>
  <si>
    <t>Le contexte fourni ne permet pas de répondre à cette question. Il contient uniquement des données détaillées pour un joueur (Shai Gilgeous-Alexander) et un dictionnaire des variables, mais aucune information sur les joueurs de l'équipe SAS ni leurs statistiques individuelles.</t>
  </si>
  <si>
    <t>Le contexte fourni ne permet pas de répondre à cette question.
Les raisons sont les suivantes :
1.  **Manque de données** : Le tableau d'analyse des joueurs (lignes 84-88) ne liste qu'un seul joueur complet (Shai Gilgeous-Alexander) avec un pourcentage de réussite aux tirs de 51,9 % (inférieur à 60 %) et ne fournit pas le nombre de tentatives à 3 points par match pour lui ni pour les autres joueurs du top 15.
2.  **Incohérence logique** : La condition demandée ("pourcentage de tirs à 3 points *tentés* par match supérieur à 10") mélange une unité de mesure de taux (%) avec une unité de volume (nombre de tirs). De plus, même si l'on interprète cela comme "plus de 10 tentatives à 3 points par match", aucune donnée chiffrée sur le volume de tirs à 3 points (`3PA`) n'est présente dans les extraits fournis pour permettre une vérification.</t>
  </si>
  <si>
    <t>Bien que le nom "LeBron" apparaisse dans un extrait de discussion Reddit, aucune donnée statistique (comme FGM ou FGA) n'est associée à ce joueur dans les informations fournies. Le texte contient uniquement des définitions de statistiques et des opinions générales sur d'autres joueurs (SGA, Embiid, Jokic).</t>
  </si>
  <si>
    <t>D'après les discussions fournies, voici ce que certains fans reprochent ou pointent comme limites chez Reggie Miller :
*   **Une valeur globale surévaluée :** Certains estiment qu'il ne mérite pas d'être classé dans le top 5 des joueurs les plus précieux de l'histoire de la franchise (contrairement à Dwyane Wade) et qu'il se situe plutôt dans le bas du classement des "NBA 75".
*   **Des honneurs réguliers limités :** Il n'a été sélectionné All-NBA que trois fois et n'a jamais fait partie des discussions pour le titre de MVP.
*   **Un profil statistique modeste en saison régulière :** Il n'était pas un joueur à très haut volume de tirs ou de points par match comparé aux stars de son époque (comme MJ, Shaq ou Iverson). Son usage offensif (USG%) restait faible pour un premier option.
*   **Des lacunes techniques :** Il était décrit comme un mauvais joueur en isolation ("ISO"), dépendant fortement des écrans pour se créer des espaces, contrairement à des joueurs comme Ray Allen qui étaient meilleurs en un contre un.</t>
  </si>
  <si>
    <t>D'après le contexte fourni, les arguments selon lesquels Reggie Miller serait surcoté (ou du moins pas aussi dominant que certains le prétendent) reposent sur les points suivants :
*   **Palmarès individuel limité :** Il n'a été sélectionné dans la All-NBA Team que trois fois.
*   **Statut de joueur "top 10" contesté :** Même lors de sa meilleure saison, l'idée qu'il était un top 10 player de la ligue était considérée comme exagérée par certains commentateurs.
*   **Absence de discussion MVP :** Il n'a jamais été proche d'une discussion pour le titre de MVP.
*   **Comparaison avec d'autres gardes :** Des joueurs comme Nash, Wade, Iverson ou Drexler sont cités comme ayant eu des carrières arguably meilleures ou étant plus performants par rapport à leur époque respective.
*   **Style de jeu spécifique :** Son jeu reposait beaucoup sur les écrans et le tir à distance plutôt que sur l'isolement ("ISO"), ce qui rendait son impact offensif différent des stars dominantes en possession de balle de l'époque.</t>
  </si>
  <si>
    <t>Oui, les critiques exprimées par les fans dans le contexte vont dans le sens des statistiques (ou plutôt de l'absence de certaines statistiques positives) mentionnées.
Un utilisateur note que les Orlando Magic n'ont « pas de tireurs » (« no shooters »), ce qui est comparé au jeu du début des années 2000. Un autre commentaire précise que l'équipe est « hilariquement surclassée en termes de capacité de tir et de score » (« hilariously overmatched in terms of shooting and scoring ability »). Ces observations suggèrent que les faiblesses offensives de l'équipe, notamment l'incapacité à marquer ou tirer efficacement, sont visibles et corroborent les critiques selon lesquelles ils recourent à des méthodes physiques pour compenser leur manque de talent offensif.</t>
  </si>
  <si>
    <t>Le contexte fourni ne permet pas de répondre à cette question.
Les données disponibles indiquent le nombre de victoires par joueur (`W`) ou des totaux de points, mais elles ne précisent pas quelles équipes ont remporté des matchs spécifiques ni les résultats globaux des équipes pour la saison en cours.</t>
  </si>
  <si>
    <t>g</t>
  </si>
  <si>
    <t>q</t>
  </si>
  <si>
    <t>Player</t>
  </si>
  <si>
    <t>Nom du joueur</t>
  </si>
  <si>
    <t>Team</t>
  </si>
  <si>
    <t>Équipe du joueur (code à 3 lettres)</t>
  </si>
  <si>
    <t>Age</t>
  </si>
  <si>
    <t>Âge du joueur</t>
  </si>
  <si>
    <t>GP</t>
  </si>
  <si>
    <t>Nombre de matchs joués (Games Played)</t>
  </si>
  <si>
    <t>W</t>
  </si>
  <si>
    <t>Nombre de victoires de l'équipe lors des matchs joués</t>
  </si>
  <si>
    <t>L</t>
  </si>
  <si>
    <t>Nombre de défaites</t>
  </si>
  <si>
    <t>Min</t>
  </si>
  <si>
    <t>Minutes moyennes jouées par match</t>
  </si>
  <si>
    <t>PTS</t>
  </si>
  <si>
    <t>Points marqués en moyenne par match</t>
  </si>
  <si>
    <t>FGM</t>
  </si>
  <si>
    <t>Tirs réussis par match (Field Goals Made)</t>
  </si>
  <si>
    <t>FGA</t>
  </si>
  <si>
    <t>Tirs tentés par match (Field Goals Attempted)</t>
  </si>
  <si>
    <t>FG%</t>
  </si>
  <si>
    <t>Pourcentage de réussite aux tirs</t>
  </si>
  <si>
    <t>Minutes jouées après 15:00 de jeu</t>
  </si>
  <si>
    <t>3PA</t>
  </si>
  <si>
    <t>Tirs à 3 points tentés par match</t>
  </si>
  <si>
    <t>3P%</t>
  </si>
  <si>
    <t>Pourcentage de réussite à 3 points</t>
  </si>
  <si>
    <t>FTM</t>
  </si>
  <si>
    <t>Lancers francs réussis (Free Throws Made)</t>
  </si>
  <si>
    <t>FTA</t>
  </si>
  <si>
    <t>Lancers francs tentés</t>
  </si>
  <si>
    <t>FT%</t>
  </si>
  <si>
    <t>Pourcentage de réussite aux lancers francs</t>
  </si>
  <si>
    <t>OREB</t>
  </si>
  <si>
    <t>Rebonds offensifs</t>
  </si>
  <si>
    <t>DREB</t>
  </si>
  <si>
    <t>Rebonds défensifs</t>
  </si>
  <si>
    <t>REB</t>
  </si>
  <si>
    <t>Rebonds totaux</t>
  </si>
  <si>
    <t>AST</t>
  </si>
  <si>
    <t>Passes décisives (Assists)</t>
  </si>
  <si>
    <t>TOV</t>
  </si>
  <si>
    <t>Balles perdues (Turnovers)</t>
  </si>
  <si>
    <t>STL</t>
  </si>
  <si>
    <t>Interceptions (Steals)</t>
  </si>
  <si>
    <t>BLK</t>
  </si>
  <si>
    <t>Contres (Blocks)</t>
  </si>
  <si>
    <t>PF</t>
  </si>
  <si>
    <t>Fautes personnelles</t>
  </si>
  <si>
    <t>FP</t>
  </si>
  <si>
    <t>Fantasy Points</t>
  </si>
  <si>
    <t>DD2</t>
  </si>
  <si>
    <t>Double-doubles (≥10 dans deux catégories principales)</t>
  </si>
  <si>
    <t>TD3</t>
  </si>
  <si>
    <t>Triple-doubles (≥10 dans trois catégories principales)</t>
  </si>
  <si>
    <t>Plus-Minus (écart de score lorsque le joueur est sur le terrain)</t>
  </si>
  <si>
    <t>OFFRTG</t>
  </si>
  <si>
    <t>Offensive Rating (points marqués par 100 possessions)</t>
  </si>
  <si>
    <t>DEFRTG</t>
  </si>
  <si>
    <t>Defensive Rating (points encaissés par 100 possessions)</t>
  </si>
  <si>
    <t>NETRTG</t>
  </si>
  <si>
    <t>Net Rating = OFFRTG - DEFRTG</t>
  </si>
  <si>
    <t>AST%</t>
  </si>
  <si>
    <t>Pourcentage d'assists – implication dans les passes décisives</t>
  </si>
  <si>
    <t>AST/TO</t>
  </si>
  <si>
    <t>Ratio passes / pertes de balle</t>
  </si>
  <si>
    <t>AST RATIO</t>
  </si>
  <si>
    <t>Ratio d’assists pour 100 possessions</t>
  </si>
  <si>
    <t>OREB%</t>
  </si>
  <si>
    <t>Pourcentage de rebonds offensifs parmi ceux disponibles</t>
  </si>
  <si>
    <t>DREB%</t>
  </si>
  <si>
    <t>Idem en défensif</t>
  </si>
  <si>
    <t>REB%</t>
  </si>
  <si>
    <t>Pourcentage de rebonds totaux parmi ceux disponibles</t>
  </si>
  <si>
    <t>TO RATIO</t>
  </si>
  <si>
    <t>Turnover Ratio – pertes de balle par 100 possessions</t>
  </si>
  <si>
    <t>EFG%</t>
  </si>
  <si>
    <t>Effective Field Goal % (pondère les 3 points)</t>
  </si>
  <si>
    <t>TS%</t>
  </si>
  <si>
    <t>True Shooting % (inclut FG et FT dans l'efficacité)</t>
  </si>
  <si>
    <t>USG%</t>
  </si>
  <si>
    <t>Usage Rate – % des actions utilisées par le joueur</t>
  </si>
  <si>
    <t>PACE</t>
  </si>
  <si>
    <t>Rythme de jeu (possessions par 48 minutes)</t>
  </si>
  <si>
    <t>PIE</t>
  </si>
  <si>
    <t>Player Impact Estimate – évaluation globale de l’impact</t>
  </si>
  <si>
    <t>POSS</t>
  </si>
  <si>
    <t>Nombre total de possessions jouées</t>
  </si>
  <si>
    <t>Table</t>
  </si>
  <si>
    <t>players</t>
  </si>
  <si>
    <t>matches</t>
  </si>
  <si>
    <t>stats</t>
  </si>
  <si>
    <t>reports</t>
  </si>
  <si>
    <t>Column name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</si>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</sst>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1" fillId="0" borderId="1" xfId="0" applyFont="1" applyBorder="1"/>
    <xf numFmtId="20" fontId="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C2E8-DEF8-4F16-8364-C29F274390A6}">
  <dimension ref="A1:H21"/>
  <sheetViews>
    <sheetView topLeftCell="D7" workbookViewId="0">
      <selection activeCell="G10" sqref="G10"/>
    </sheetView>
  </sheetViews>
  <sheetFormatPr baseColWidth="10" defaultRowHeight="14.4" x14ac:dyDescent="0.3"/>
  <cols>
    <col min="2" max="3" width="17.5546875" customWidth="1"/>
    <col min="4" max="4" width="79.77734375" style="2" bestFit="1" customWidth="1"/>
    <col min="5" max="5" width="50.5546875" style="1" customWidth="1"/>
    <col min="6" max="6" width="18.21875" customWidth="1"/>
    <col min="7" max="7" width="17.109375" bestFit="1" customWidth="1"/>
    <col min="8" max="8" width="153.33203125" customWidth="1"/>
  </cols>
  <sheetData>
    <row r="1" spans="1:8" x14ac:dyDescent="0.3">
      <c r="A1" t="s">
        <v>14</v>
      </c>
      <c r="B1" t="s">
        <v>0</v>
      </c>
      <c r="C1" t="s">
        <v>11</v>
      </c>
      <c r="D1" s="2" t="s">
        <v>1</v>
      </c>
      <c r="E1" s="1" t="s">
        <v>2</v>
      </c>
      <c r="F1" t="s">
        <v>33</v>
      </c>
      <c r="G1" t="s">
        <v>32</v>
      </c>
      <c r="H1" t="s">
        <v>34</v>
      </c>
    </row>
    <row r="2" spans="1:8" x14ac:dyDescent="0.3">
      <c r="A2">
        <v>1</v>
      </c>
      <c r="B2" t="s">
        <v>3</v>
      </c>
      <c r="C2" t="s">
        <v>12</v>
      </c>
      <c r="D2" s="2" t="s">
        <v>13</v>
      </c>
      <c r="E2" s="1">
        <v>2072</v>
      </c>
      <c r="F2">
        <v>1</v>
      </c>
      <c r="G2">
        <v>0</v>
      </c>
      <c r="H2" t="s">
        <v>35</v>
      </c>
    </row>
    <row r="3" spans="1:8" x14ac:dyDescent="0.3">
      <c r="A3">
        <v>2</v>
      </c>
      <c r="B3" t="s">
        <v>3</v>
      </c>
      <c r="C3" t="s">
        <v>12</v>
      </c>
      <c r="D3" s="2" t="s">
        <v>15</v>
      </c>
      <c r="E3" s="1">
        <v>175</v>
      </c>
      <c r="F3">
        <v>1</v>
      </c>
      <c r="G3">
        <v>0</v>
      </c>
      <c r="H3" t="s">
        <v>36</v>
      </c>
    </row>
    <row r="4" spans="1:8" x14ac:dyDescent="0.3">
      <c r="A4">
        <v>3</v>
      </c>
      <c r="B4" t="s">
        <v>5</v>
      </c>
      <c r="C4" t="s">
        <v>12</v>
      </c>
      <c r="D4" s="2" t="s">
        <v>16</v>
      </c>
      <c r="E4" s="1" t="s">
        <v>17</v>
      </c>
      <c r="F4">
        <v>1</v>
      </c>
      <c r="G4">
        <v>0</v>
      </c>
      <c r="H4" t="s">
        <v>37</v>
      </c>
    </row>
    <row r="5" spans="1:8" ht="216" x14ac:dyDescent="0.3">
      <c r="A5">
        <v>4</v>
      </c>
      <c r="B5" t="s">
        <v>4</v>
      </c>
      <c r="C5" t="s">
        <v>12</v>
      </c>
      <c r="D5" s="2" t="s">
        <v>18</v>
      </c>
      <c r="E5" s="1" t="s">
        <v>19</v>
      </c>
      <c r="F5">
        <v>0.8</v>
      </c>
      <c r="G5">
        <v>0</v>
      </c>
      <c r="H5" t="s">
        <v>38</v>
      </c>
    </row>
    <row r="6" spans="1:8" ht="100.05" customHeight="1" x14ac:dyDescent="0.3">
      <c r="A6">
        <v>5</v>
      </c>
      <c r="B6" t="s">
        <v>4</v>
      </c>
      <c r="C6" t="s">
        <v>12</v>
      </c>
      <c r="D6" s="2" t="s">
        <v>20</v>
      </c>
      <c r="E6" s="1" t="s">
        <v>21</v>
      </c>
      <c r="F6">
        <v>1</v>
      </c>
      <c r="G6">
        <v>0</v>
      </c>
      <c r="H6" s="1" t="s">
        <v>39</v>
      </c>
    </row>
    <row r="7" spans="1:8" x14ac:dyDescent="0.3">
      <c r="A7">
        <v>6</v>
      </c>
      <c r="B7" t="s">
        <v>23</v>
      </c>
      <c r="C7" t="s">
        <v>12</v>
      </c>
      <c r="D7" s="2" t="s">
        <v>22</v>
      </c>
      <c r="E7" s="1">
        <f>651/1267</f>
        <v>0.51381215469613262</v>
      </c>
      <c r="F7">
        <v>0.8</v>
      </c>
      <c r="G7">
        <v>0</v>
      </c>
      <c r="H7" t="s">
        <v>40</v>
      </c>
    </row>
    <row r="8" spans="1:8" ht="129.6" x14ac:dyDescent="0.3">
      <c r="A8">
        <v>7</v>
      </c>
      <c r="B8" t="s">
        <v>3</v>
      </c>
      <c r="C8" t="s">
        <v>24</v>
      </c>
      <c r="D8" t="s">
        <v>25</v>
      </c>
      <c r="E8" s="1" t="s">
        <v>28</v>
      </c>
      <c r="F8">
        <v>1</v>
      </c>
      <c r="G8">
        <v>0.92</v>
      </c>
      <c r="H8" s="1" t="s">
        <v>41</v>
      </c>
    </row>
    <row r="9" spans="1:8" ht="144" x14ac:dyDescent="0.3">
      <c r="A9">
        <v>8</v>
      </c>
      <c r="B9" t="s">
        <v>6</v>
      </c>
      <c r="C9" t="s">
        <v>24</v>
      </c>
      <c r="D9" s="2" t="s">
        <v>29</v>
      </c>
      <c r="E9" s="1" t="s">
        <v>30</v>
      </c>
      <c r="F9">
        <v>1</v>
      </c>
      <c r="G9">
        <v>0.93</v>
      </c>
      <c r="H9" s="1" t="s">
        <v>42</v>
      </c>
    </row>
    <row r="10" spans="1:8" ht="86.4" x14ac:dyDescent="0.3">
      <c r="A10">
        <v>9</v>
      </c>
      <c r="B10" t="s">
        <v>26</v>
      </c>
      <c r="C10" t="s">
        <v>27</v>
      </c>
      <c r="D10" s="2" t="s">
        <v>31</v>
      </c>
      <c r="E10" s="1" t="s">
        <v>21</v>
      </c>
      <c r="F10" t="s">
        <v>45</v>
      </c>
      <c r="G10" t="s">
        <v>46</v>
      </c>
      <c r="H10" s="1" t="s">
        <v>43</v>
      </c>
    </row>
    <row r="11" spans="1:8" ht="57.6" x14ac:dyDescent="0.3">
      <c r="A11">
        <v>10</v>
      </c>
      <c r="B11" t="s">
        <v>8</v>
      </c>
      <c r="C11" t="s">
        <v>12</v>
      </c>
      <c r="D11" s="2" t="s">
        <v>10</v>
      </c>
      <c r="E11" s="1" t="s">
        <v>9</v>
      </c>
      <c r="F11">
        <v>0.75</v>
      </c>
      <c r="G11">
        <v>0</v>
      </c>
      <c r="H11" s="1" t="s">
        <v>44</v>
      </c>
    </row>
    <row r="16" spans="1:8" x14ac:dyDescent="0.3">
      <c r="B16" t="s">
        <v>3</v>
      </c>
    </row>
    <row r="17" spans="2:2" x14ac:dyDescent="0.3">
      <c r="B17" t="s">
        <v>4</v>
      </c>
    </row>
    <row r="18" spans="2:2" x14ac:dyDescent="0.3">
      <c r="B18" t="s">
        <v>5</v>
      </c>
    </row>
    <row r="19" spans="2:2" x14ac:dyDescent="0.3">
      <c r="B19" t="s">
        <v>6</v>
      </c>
    </row>
    <row r="20" spans="2:2" x14ac:dyDescent="0.3">
      <c r="B20" t="s">
        <v>7</v>
      </c>
    </row>
    <row r="21" spans="2:2" x14ac:dyDescent="0.3">
      <c r="B2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31F0-F241-47AE-84C5-B3A2B0F88B3A}">
  <dimension ref="A1:E46"/>
  <sheetViews>
    <sheetView tabSelected="1" workbookViewId="0">
      <selection activeCell="D20" sqref="D20"/>
    </sheetView>
  </sheetViews>
  <sheetFormatPr baseColWidth="10" defaultRowHeight="14.4" x14ac:dyDescent="0.3"/>
  <cols>
    <col min="2" max="2" width="49.33203125" bestFit="1" customWidth="1"/>
  </cols>
  <sheetData>
    <row r="1" spans="1:5" x14ac:dyDescent="0.3">
      <c r="A1" t="s">
        <v>140</v>
      </c>
      <c r="B1" t="s">
        <v>141</v>
      </c>
      <c r="C1" t="s">
        <v>135</v>
      </c>
    </row>
    <row r="2" spans="1:5" x14ac:dyDescent="0.3">
      <c r="A2" s="3" t="s">
        <v>47</v>
      </c>
      <c r="B2" s="3" t="s">
        <v>48</v>
      </c>
      <c r="C2" t="s">
        <v>136</v>
      </c>
      <c r="E2" t="s">
        <v>136</v>
      </c>
    </row>
    <row r="3" spans="1:5" x14ac:dyDescent="0.3">
      <c r="A3" s="3" t="s">
        <v>49</v>
      </c>
      <c r="B3" s="3" t="s">
        <v>50</v>
      </c>
      <c r="C3" t="s">
        <v>136</v>
      </c>
      <c r="E3" t="s">
        <v>137</v>
      </c>
    </row>
    <row r="4" spans="1:5" x14ac:dyDescent="0.3">
      <c r="A4" s="3" t="s">
        <v>51</v>
      </c>
      <c r="B4" s="3" t="s">
        <v>52</v>
      </c>
      <c r="C4" t="s">
        <v>136</v>
      </c>
      <c r="E4" t="s">
        <v>138</v>
      </c>
    </row>
    <row r="5" spans="1:5" x14ac:dyDescent="0.3">
      <c r="A5" s="3" t="s">
        <v>53</v>
      </c>
      <c r="B5" s="3" t="s">
        <v>54</v>
      </c>
      <c r="C5" t="s">
        <v>137</v>
      </c>
      <c r="E5" t="s">
        <v>139</v>
      </c>
    </row>
    <row r="6" spans="1:5" x14ac:dyDescent="0.3">
      <c r="A6" s="3" t="s">
        <v>55</v>
      </c>
      <c r="B6" s="3" t="s">
        <v>56</v>
      </c>
      <c r="C6" t="s">
        <v>137</v>
      </c>
    </row>
    <row r="7" spans="1:5" x14ac:dyDescent="0.3">
      <c r="A7" s="3" t="s">
        <v>57</v>
      </c>
      <c r="B7" s="3" t="s">
        <v>58</v>
      </c>
      <c r="C7" t="s">
        <v>137</v>
      </c>
    </row>
    <row r="8" spans="1:5" x14ac:dyDescent="0.3">
      <c r="A8" s="3" t="s">
        <v>59</v>
      </c>
      <c r="B8" s="3" t="s">
        <v>60</v>
      </c>
      <c r="C8" t="s">
        <v>137</v>
      </c>
    </row>
    <row r="9" spans="1:5" x14ac:dyDescent="0.3">
      <c r="A9" s="3" t="s">
        <v>61</v>
      </c>
      <c r="B9" s="3" t="s">
        <v>62</v>
      </c>
      <c r="C9" t="s">
        <v>137</v>
      </c>
    </row>
    <row r="10" spans="1:5" x14ac:dyDescent="0.3">
      <c r="A10" s="3" t="s">
        <v>63</v>
      </c>
      <c r="B10" s="3" t="s">
        <v>64</v>
      </c>
      <c r="C10" t="s">
        <v>137</v>
      </c>
    </row>
    <row r="11" spans="1:5" x14ac:dyDescent="0.3">
      <c r="A11" s="3" t="s">
        <v>65</v>
      </c>
      <c r="B11" s="3" t="s">
        <v>66</v>
      </c>
      <c r="C11" t="s">
        <v>137</v>
      </c>
    </row>
    <row r="12" spans="1:5" x14ac:dyDescent="0.3">
      <c r="A12" s="3" t="s">
        <v>67</v>
      </c>
      <c r="B12" s="3" t="s">
        <v>68</v>
      </c>
      <c r="C12" t="s">
        <v>138</v>
      </c>
    </row>
    <row r="13" spans="1:5" x14ac:dyDescent="0.3">
      <c r="A13" s="4">
        <v>0.625</v>
      </c>
      <c r="B13" s="3" t="s">
        <v>69</v>
      </c>
      <c r="C13" t="s">
        <v>138</v>
      </c>
    </row>
    <row r="14" spans="1:5" x14ac:dyDescent="0.3">
      <c r="A14" s="3" t="s">
        <v>70</v>
      </c>
      <c r="B14" s="3" t="s">
        <v>71</v>
      </c>
      <c r="C14" t="s">
        <v>137</v>
      </c>
    </row>
    <row r="15" spans="1:5" x14ac:dyDescent="0.3">
      <c r="A15" s="3" t="s">
        <v>72</v>
      </c>
      <c r="B15" s="3" t="s">
        <v>73</v>
      </c>
      <c r="C15" t="s">
        <v>138</v>
      </c>
    </row>
    <row r="16" spans="1:5" x14ac:dyDescent="0.3">
      <c r="A16" s="3" t="s">
        <v>74</v>
      </c>
      <c r="B16" s="3" t="s">
        <v>75</v>
      </c>
      <c r="C16" t="s">
        <v>138</v>
      </c>
    </row>
    <row r="17" spans="1:3" x14ac:dyDescent="0.3">
      <c r="A17" s="3" t="s">
        <v>76</v>
      </c>
      <c r="B17" s="3" t="s">
        <v>77</v>
      </c>
      <c r="C17" t="s">
        <v>138</v>
      </c>
    </row>
    <row r="18" spans="1:3" x14ac:dyDescent="0.3">
      <c r="A18" s="3" t="s">
        <v>78</v>
      </c>
      <c r="B18" s="3" t="s">
        <v>79</v>
      </c>
      <c r="C18" t="s">
        <v>138</v>
      </c>
    </row>
    <row r="19" spans="1:3" x14ac:dyDescent="0.3">
      <c r="A19" s="3" t="s">
        <v>80</v>
      </c>
      <c r="B19" s="3" t="s">
        <v>81</v>
      </c>
      <c r="C19" t="s">
        <v>138</v>
      </c>
    </row>
    <row r="20" spans="1:3" x14ac:dyDescent="0.3">
      <c r="A20" s="3" t="s">
        <v>82</v>
      </c>
      <c r="B20" s="3" t="s">
        <v>83</v>
      </c>
      <c r="C20" t="s">
        <v>138</v>
      </c>
    </row>
    <row r="21" spans="1:3" x14ac:dyDescent="0.3">
      <c r="A21" s="3" t="s">
        <v>84</v>
      </c>
      <c r="B21" s="3" t="s">
        <v>85</v>
      </c>
      <c r="C21" t="s">
        <v>138</v>
      </c>
    </row>
    <row r="22" spans="1:3" x14ac:dyDescent="0.3">
      <c r="A22" s="3" t="s">
        <v>86</v>
      </c>
      <c r="B22" s="3" t="s">
        <v>87</v>
      </c>
      <c r="C22" t="s">
        <v>138</v>
      </c>
    </row>
    <row r="23" spans="1:3" x14ac:dyDescent="0.3">
      <c r="A23" s="3" t="s">
        <v>88</v>
      </c>
      <c r="B23" s="3" t="s">
        <v>89</v>
      </c>
      <c r="C23" t="s">
        <v>138</v>
      </c>
    </row>
    <row r="24" spans="1:3" x14ac:dyDescent="0.3">
      <c r="A24" s="3" t="s">
        <v>90</v>
      </c>
      <c r="B24" s="3" t="s">
        <v>91</v>
      </c>
      <c r="C24" t="s">
        <v>138</v>
      </c>
    </row>
    <row r="25" spans="1:3" x14ac:dyDescent="0.3">
      <c r="A25" s="3" t="s">
        <v>92</v>
      </c>
      <c r="B25" s="3" t="s">
        <v>93</v>
      </c>
      <c r="C25" t="s">
        <v>138</v>
      </c>
    </row>
    <row r="26" spans="1:3" x14ac:dyDescent="0.3">
      <c r="A26" s="3" t="s">
        <v>94</v>
      </c>
      <c r="B26" s="3" t="s">
        <v>95</v>
      </c>
      <c r="C26" t="s">
        <v>138</v>
      </c>
    </row>
    <row r="27" spans="1:3" x14ac:dyDescent="0.3">
      <c r="A27" s="3" t="s">
        <v>96</v>
      </c>
      <c r="B27" s="3" t="s">
        <v>97</v>
      </c>
      <c r="C27" t="s">
        <v>138</v>
      </c>
    </row>
    <row r="28" spans="1:3" x14ac:dyDescent="0.3">
      <c r="A28" s="3" t="s">
        <v>98</v>
      </c>
      <c r="B28" s="3" t="s">
        <v>99</v>
      </c>
    </row>
    <row r="29" spans="1:3" x14ac:dyDescent="0.3">
      <c r="A29" s="3" t="s">
        <v>100</v>
      </c>
      <c r="B29" s="3" t="s">
        <v>101</v>
      </c>
    </row>
    <row r="30" spans="1:3" x14ac:dyDescent="0.3">
      <c r="A30" s="3" t="str">
        <f>"+ / -"</f>
        <v>+ / -</v>
      </c>
      <c r="B30" s="3" t="s">
        <v>102</v>
      </c>
    </row>
    <row r="31" spans="1:3" x14ac:dyDescent="0.3">
      <c r="A31" s="3" t="s">
        <v>103</v>
      </c>
      <c r="B31" s="3" t="s">
        <v>104</v>
      </c>
    </row>
    <row r="32" spans="1:3" x14ac:dyDescent="0.3">
      <c r="A32" s="3" t="s">
        <v>105</v>
      </c>
      <c r="B32" s="3" t="s">
        <v>106</v>
      </c>
    </row>
    <row r="33" spans="1:2" x14ac:dyDescent="0.3">
      <c r="A33" s="3" t="s">
        <v>107</v>
      </c>
      <c r="B33" s="3" t="s">
        <v>108</v>
      </c>
    </row>
    <row r="34" spans="1:2" x14ac:dyDescent="0.3">
      <c r="A34" s="3" t="s">
        <v>109</v>
      </c>
      <c r="B34" s="3" t="s">
        <v>110</v>
      </c>
    </row>
    <row r="35" spans="1:2" x14ac:dyDescent="0.3">
      <c r="A35" s="3" t="s">
        <v>111</v>
      </c>
      <c r="B35" s="3" t="s">
        <v>112</v>
      </c>
    </row>
    <row r="36" spans="1:2" x14ac:dyDescent="0.3">
      <c r="A36" s="3" t="s">
        <v>113</v>
      </c>
      <c r="B36" s="3" t="s">
        <v>114</v>
      </c>
    </row>
    <row r="37" spans="1:2" x14ac:dyDescent="0.3">
      <c r="A37" s="3" t="s">
        <v>115</v>
      </c>
      <c r="B37" s="3" t="s">
        <v>116</v>
      </c>
    </row>
    <row r="38" spans="1:2" x14ac:dyDescent="0.3">
      <c r="A38" s="3" t="s">
        <v>117</v>
      </c>
      <c r="B38" s="3" t="s">
        <v>118</v>
      </c>
    </row>
    <row r="39" spans="1:2" x14ac:dyDescent="0.3">
      <c r="A39" s="3" t="s">
        <v>119</v>
      </c>
      <c r="B39" s="3" t="s">
        <v>120</v>
      </c>
    </row>
    <row r="40" spans="1:2" x14ac:dyDescent="0.3">
      <c r="A40" s="3" t="s">
        <v>121</v>
      </c>
      <c r="B40" s="3" t="s">
        <v>122</v>
      </c>
    </row>
    <row r="41" spans="1:2" x14ac:dyDescent="0.3">
      <c r="A41" s="3" t="s">
        <v>123</v>
      </c>
      <c r="B41" s="3" t="s">
        <v>124</v>
      </c>
    </row>
    <row r="42" spans="1:2" x14ac:dyDescent="0.3">
      <c r="A42" s="3" t="s">
        <v>125</v>
      </c>
      <c r="B42" s="3" t="s">
        <v>126</v>
      </c>
    </row>
    <row r="43" spans="1:2" x14ac:dyDescent="0.3">
      <c r="A43" s="3" t="s">
        <v>127</v>
      </c>
      <c r="B43" s="3" t="s">
        <v>128</v>
      </c>
    </row>
    <row r="44" spans="1:2" x14ac:dyDescent="0.3">
      <c r="A44" s="3" t="s">
        <v>129</v>
      </c>
      <c r="B44" s="3" t="s">
        <v>130</v>
      </c>
    </row>
    <row r="45" spans="1:2" x14ac:dyDescent="0.3">
      <c r="A45" s="3" t="s">
        <v>131</v>
      </c>
      <c r="B45" s="3" t="s">
        <v>132</v>
      </c>
    </row>
    <row r="46" spans="1:2" x14ac:dyDescent="0.3">
      <c r="A46" s="3" t="s">
        <v>133</v>
      </c>
      <c r="B46" s="3"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Tests Ragas</vt: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Houdin Emmanuel</dc:creator>
  <cp:lastModifiedBy>Houdin Emmanuel</cp:lastModifiedBy>
  <dcterms:created xsi:type="dcterms:W3CDTF">2026-10-13T13:26:15Z</dcterms:created>
  <dcterms:modified xsi:type="dcterms:W3CDTF">2026-10-14T14:19:04Z</dcterms:modified>
</cp:coreProperties>
</file>